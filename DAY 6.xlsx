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925EE20-6ECA-40CA-AAB8-E6F6A8A212EE}" xr6:coauthVersionLast="47" xr6:coauthVersionMax="47" xr10:uidLastSave="{00000000-0000-0000-0000-000000000000}"/>
  <bookViews>
    <workbookView xWindow="-120" yWindow="-120" windowWidth="20730" windowHeight="11160" xr2:uid="{6C1C44B1-898F-4700-B223-E5E93A95C4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1" l="1"/>
  <c r="J5" i="1"/>
  <c r="J2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<sst xmlns="http://schemas.openxmlformats.org/spreadsheetml/2006/main" count="32" uniqueCount="32">
  <si>
    <t>S.NO</t>
  </si>
  <si>
    <t>NAME</t>
  </si>
  <si>
    <t xml:space="preserve">HINDI </t>
  </si>
  <si>
    <t>ENG.</t>
  </si>
  <si>
    <t>MATHS</t>
  </si>
  <si>
    <t>PHYSICS</t>
  </si>
  <si>
    <t>CHEMISTRY</t>
  </si>
  <si>
    <t>TOTAL</t>
  </si>
  <si>
    <t>AVI</t>
  </si>
  <si>
    <t>JASLEEN</t>
  </si>
  <si>
    <t>ROJI</t>
  </si>
  <si>
    <t>RAJ</t>
  </si>
  <si>
    <t>MANRAJ</t>
  </si>
  <si>
    <t>AMAN</t>
  </si>
  <si>
    <t>JEET</t>
  </si>
  <si>
    <t>HAPPY</t>
  </si>
  <si>
    <t>GOPI</t>
  </si>
  <si>
    <t>GURI</t>
  </si>
  <si>
    <t>KAMAL</t>
  </si>
  <si>
    <t>MANPREET</t>
  </si>
  <si>
    <t>SANDEEP</t>
  </si>
  <si>
    <t>DEEP</t>
  </si>
  <si>
    <t>MANSIRAT</t>
  </si>
  <si>
    <t>PREET</t>
  </si>
  <si>
    <t>ROOP</t>
  </si>
  <si>
    <t>AMRIT</t>
  </si>
  <si>
    <t>VLOOKUP</t>
  </si>
  <si>
    <t>XLOOKUP</t>
  </si>
  <si>
    <t>HLOOKUP</t>
  </si>
  <si>
    <t>DAY 6</t>
  </si>
  <si>
    <t>01_09_2026</t>
  </si>
  <si>
    <t>VLOKUP,XLOOKUP,HLOOKUP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</si>
</sst>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D6998A-73DA-4784-8B32-1CD13E49D14B}" name="Table1" displayName="Table1" ref="A1:H19" totalsRowShown="0" headerRowDxfId="8" dataDxfId="7">
  <autoFilter ref="A1:H19" xr:uid="{85D6998A-73DA-4784-8B32-1CD13E49D14B}"/>
  <tableColumns count="8">
    <tableColumn id="1" xr3:uid="{88636F28-8A75-4865-B720-D23D56B56794}" name="S.NO" dataDxfId="6"/>
    <tableColumn id="2" xr3:uid="{21F192C5-68AE-4175-8ACC-F29262534726}" name="NAME"/>
    <tableColumn id="3" xr3:uid="{0E4EA921-AACA-4433-85F3-304DE2A204A8}" name="HINDI " dataDxfId="5"/>
    <tableColumn id="4" xr3:uid="{D131FB19-DB89-48E5-8E30-02ADFCFF2162}" name="ENG." dataDxfId="4"/>
    <tableColumn id="5" xr3:uid="{1D40BEF5-5A6E-4773-8A4C-CB8CE66FA0CC}" name="MATHS" dataDxfId="3"/>
    <tableColumn id="6" xr3:uid="{C6989A5A-AC9B-491B-91B2-D6270F3E3A99}" name="PHYSICS" dataDxfId="2"/>
    <tableColumn id="7" xr3:uid="{B643AC6A-8111-4EF6-83B1-529642E8111D}" name="CHEMISTRY" dataDxfId="1"/>
    <tableColumn id="8" xr3:uid="{FBA3DD67-1744-4939-A774-E1C238313E50}" name="TOTAL" dataDxfId="0">
      <calculatedColumnFormula>SUM(C2:G2)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F5964-D345-4CFC-BC54-C97AE8D3C063}">
  <dimension ref="A1:Q20"/>
  <sheetViews>
    <sheetView tabSelected="1" workbookViewId="0">
      <selection activeCell="L9" sqref="L9:Q10"/>
    </sheetView>
  </sheetViews>
  <sheetFormatPr defaultRowHeight="15" x14ac:dyDescent="0.25"/>
  <cols>
    <col min="5" max="5" width="9.5703125" customWidth="1"/>
    <col min="6" max="6" width="10.42578125" customWidth="1"/>
    <col min="7" max="7" width="13.28515625" customWidth="1"/>
  </cols>
  <sheetData>
    <row r="1" spans="1:17" x14ac:dyDescent="0.25">
      <c r="A1" s="1" t="s">
        <v>0</v>
      </c>
      <c r="B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t="s">
        <v>26</v>
      </c>
    </row>
    <row r="2" spans="1:17" x14ac:dyDescent="0.25">
      <c r="A2" s="2">
        <v>1</v>
      </c>
      <c r="B2" t="s">
        <v>8</v>
      </c>
      <c r="C2" s="1">
        <v>49</v>
      </c>
      <c r="D2" s="1">
        <v>51</v>
      </c>
      <c r="E2" s="2">
        <v>45</v>
      </c>
      <c r="F2" s="2">
        <v>75</v>
      </c>
      <c r="G2" s="2">
        <v>73</v>
      </c>
      <c r="H2" s="2">
        <f>SUM(C2:G2)</f>
        <v>293</v>
      </c>
      <c r="J2" t="str">
        <f>VLOOKUP(A4,A2:H19,2,FALSE)</f>
        <v>ROJI</v>
      </c>
    </row>
    <row r="3" spans="1:17" x14ac:dyDescent="0.25">
      <c r="A3" s="2">
        <v>2</v>
      </c>
      <c r="B3" t="s">
        <v>9</v>
      </c>
      <c r="C3" s="1">
        <v>42</v>
      </c>
      <c r="D3" s="1">
        <v>76</v>
      </c>
      <c r="E3" s="2">
        <v>77</v>
      </c>
      <c r="F3" s="2">
        <v>45</v>
      </c>
      <c r="G3" s="2">
        <v>58</v>
      </c>
      <c r="H3" s="2">
        <f t="shared" ref="H3:H19" si="0">SUM(C3:G3)</f>
        <v>298</v>
      </c>
    </row>
    <row r="4" spans="1:17" x14ac:dyDescent="0.25">
      <c r="A4" s="2">
        <v>3</v>
      </c>
      <c r="B4" t="s">
        <v>10</v>
      </c>
      <c r="C4" s="1">
        <v>33</v>
      </c>
      <c r="D4" s="1">
        <v>49</v>
      </c>
      <c r="E4" s="2">
        <v>88</v>
      </c>
      <c r="F4" s="2">
        <v>100</v>
      </c>
      <c r="G4" s="2">
        <v>51</v>
      </c>
      <c r="H4" s="2">
        <f t="shared" si="0"/>
        <v>321</v>
      </c>
      <c r="J4" t="s">
        <v>27</v>
      </c>
    </row>
    <row r="5" spans="1:17" x14ac:dyDescent="0.25">
      <c r="A5" s="2">
        <v>4</v>
      </c>
      <c r="B5" t="s">
        <v>11</v>
      </c>
      <c r="C5" s="1">
        <v>73</v>
      </c>
      <c r="D5" s="1">
        <v>52</v>
      </c>
      <c r="E5" s="2">
        <v>50</v>
      </c>
      <c r="F5" s="2">
        <v>75</v>
      </c>
      <c r="G5" s="2">
        <v>44</v>
      </c>
      <c r="H5" s="2">
        <f t="shared" si="0"/>
        <v>294</v>
      </c>
      <c r="J5" t="str">
        <f>_xlfn.XLOOKUP(A17,A2:A19,B2:B19)</f>
        <v>PREET</v>
      </c>
      <c r="M5" s="4" t="s">
        <v>29</v>
      </c>
      <c r="N5" s="5"/>
      <c r="O5" s="5"/>
      <c r="P5" s="5"/>
    </row>
    <row r="6" spans="1:17" x14ac:dyDescent="0.25">
      <c r="A6" s="2">
        <v>5</v>
      </c>
      <c r="B6" t="s">
        <v>12</v>
      </c>
      <c r="C6" s="1">
        <v>35</v>
      </c>
      <c r="D6" s="1">
        <v>44</v>
      </c>
      <c r="E6" s="2">
        <v>79</v>
      </c>
      <c r="F6" s="2">
        <v>68</v>
      </c>
      <c r="G6" s="2">
        <v>41</v>
      </c>
      <c r="H6" s="2">
        <f t="shared" si="0"/>
        <v>267</v>
      </c>
      <c r="M6" s="5"/>
      <c r="N6" s="5"/>
      <c r="O6" s="5"/>
      <c r="P6" s="5"/>
    </row>
    <row r="7" spans="1:17" x14ac:dyDescent="0.25">
      <c r="A7" s="2">
        <v>6</v>
      </c>
      <c r="B7" t="s">
        <v>13</v>
      </c>
      <c r="C7" s="1">
        <v>62</v>
      </c>
      <c r="D7" s="1">
        <v>59</v>
      </c>
      <c r="E7" s="2">
        <v>67</v>
      </c>
      <c r="F7" s="2">
        <v>60</v>
      </c>
      <c r="G7" s="2">
        <v>57</v>
      </c>
      <c r="H7" s="2">
        <f t="shared" si="0"/>
        <v>305</v>
      </c>
      <c r="J7" t="s">
        <v>28</v>
      </c>
      <c r="M7" s="6" t="s">
        <v>30</v>
      </c>
      <c r="N7" s="7"/>
      <c r="O7" s="7"/>
      <c r="P7" s="7"/>
    </row>
    <row r="8" spans="1:17" x14ac:dyDescent="0.25">
      <c r="A8" s="2">
        <v>7</v>
      </c>
      <c r="B8" t="s">
        <v>14</v>
      </c>
      <c r="C8" s="1">
        <v>34</v>
      </c>
      <c r="D8" s="1">
        <v>98</v>
      </c>
      <c r="E8" s="2">
        <v>72</v>
      </c>
      <c r="F8" s="2">
        <v>92</v>
      </c>
      <c r="G8" s="2">
        <v>63</v>
      </c>
      <c r="H8" s="2">
        <f t="shared" si="0"/>
        <v>359</v>
      </c>
      <c r="J8">
        <f>HLOOKUP(A6,A2:H19,2,TRUE)</f>
        <v>2</v>
      </c>
      <c r="M8" s="7"/>
      <c r="N8" s="7"/>
      <c r="O8" s="7"/>
      <c r="P8" s="7"/>
    </row>
    <row r="9" spans="1:17" x14ac:dyDescent="0.25">
      <c r="A9" s="2">
        <v>8</v>
      </c>
      <c r="B9" t="s">
        <v>15</v>
      </c>
      <c r="C9" s="1">
        <v>95</v>
      </c>
      <c r="D9" s="1">
        <v>58</v>
      </c>
      <c r="E9" s="2">
        <v>59</v>
      </c>
      <c r="F9" s="2">
        <v>65</v>
      </c>
      <c r="G9" s="2">
        <v>78</v>
      </c>
      <c r="H9" s="2">
        <f t="shared" si="0"/>
        <v>355</v>
      </c>
      <c r="L9" s="8" t="s">
        <v>31</v>
      </c>
      <c r="M9" s="8"/>
      <c r="N9" s="8"/>
      <c r="O9" s="8"/>
      <c r="P9" s="8"/>
      <c r="Q9" s="8"/>
    </row>
    <row r="10" spans="1:17" x14ac:dyDescent="0.25">
      <c r="A10" s="2">
        <v>9</v>
      </c>
      <c r="B10" t="s">
        <v>16</v>
      </c>
      <c r="C10" s="1">
        <v>42</v>
      </c>
      <c r="D10" s="1">
        <v>37</v>
      </c>
      <c r="E10" s="2">
        <v>41</v>
      </c>
      <c r="F10" s="2">
        <v>91</v>
      </c>
      <c r="G10" s="2">
        <v>34</v>
      </c>
      <c r="H10" s="2">
        <f t="shared" si="0"/>
        <v>245</v>
      </c>
      <c r="L10" s="8"/>
      <c r="M10" s="8"/>
      <c r="N10" s="8"/>
      <c r="O10" s="8"/>
      <c r="P10" s="8"/>
      <c r="Q10" s="8"/>
    </row>
    <row r="11" spans="1:17" x14ac:dyDescent="0.25">
      <c r="A11" s="2">
        <v>10</v>
      </c>
      <c r="B11" t="s">
        <v>17</v>
      </c>
      <c r="C11" s="1">
        <v>99</v>
      </c>
      <c r="D11" s="1">
        <v>65</v>
      </c>
      <c r="E11" s="2">
        <v>40</v>
      </c>
      <c r="F11" s="2">
        <v>81</v>
      </c>
      <c r="G11" s="2">
        <v>95</v>
      </c>
      <c r="H11" s="2">
        <f t="shared" si="0"/>
        <v>380</v>
      </c>
    </row>
    <row r="12" spans="1:17" x14ac:dyDescent="0.25">
      <c r="A12" s="2">
        <v>11</v>
      </c>
      <c r="B12" t="s">
        <v>18</v>
      </c>
      <c r="C12" s="1">
        <v>34</v>
      </c>
      <c r="D12" s="1">
        <v>72</v>
      </c>
      <c r="E12" s="2">
        <v>44</v>
      </c>
      <c r="F12" s="2">
        <v>56</v>
      </c>
      <c r="G12" s="2">
        <v>51</v>
      </c>
      <c r="H12" s="2">
        <f t="shared" si="0"/>
        <v>257</v>
      </c>
    </row>
    <row r="13" spans="1:17" x14ac:dyDescent="0.25">
      <c r="A13" s="2">
        <v>12</v>
      </c>
      <c r="B13" t="s">
        <v>19</v>
      </c>
      <c r="C13" s="1">
        <v>89</v>
      </c>
      <c r="D13" s="1">
        <v>78</v>
      </c>
      <c r="E13" s="2">
        <v>58</v>
      </c>
      <c r="F13" s="2">
        <v>36</v>
      </c>
      <c r="G13" s="2">
        <v>72</v>
      </c>
      <c r="H13" s="2">
        <f t="shared" si="0"/>
        <v>333</v>
      </c>
      <c r="M13" s="3"/>
    </row>
    <row r="14" spans="1:17" x14ac:dyDescent="0.25">
      <c r="A14" s="2">
        <v>13</v>
      </c>
      <c r="B14" t="s">
        <v>20</v>
      </c>
      <c r="C14" s="1">
        <v>65</v>
      </c>
      <c r="D14" s="1">
        <v>54</v>
      </c>
      <c r="E14" s="2">
        <v>52</v>
      </c>
      <c r="F14" s="2">
        <v>46</v>
      </c>
      <c r="G14" s="2">
        <v>76</v>
      </c>
      <c r="H14" s="2">
        <f t="shared" si="0"/>
        <v>293</v>
      </c>
    </row>
    <row r="15" spans="1:17" x14ac:dyDescent="0.25">
      <c r="A15" s="2">
        <v>14</v>
      </c>
      <c r="B15" t="s">
        <v>21</v>
      </c>
      <c r="C15" s="1">
        <v>42</v>
      </c>
      <c r="D15" s="1">
        <v>77</v>
      </c>
      <c r="E15" s="2">
        <v>35</v>
      </c>
      <c r="F15" s="2">
        <v>41</v>
      </c>
      <c r="G15" s="2">
        <v>59</v>
      </c>
      <c r="H15" s="2">
        <f t="shared" si="0"/>
        <v>254</v>
      </c>
    </row>
    <row r="16" spans="1:17" x14ac:dyDescent="0.25">
      <c r="A16" s="2">
        <v>15</v>
      </c>
      <c r="B16" t="s">
        <v>22</v>
      </c>
      <c r="C16" s="1">
        <v>47</v>
      </c>
      <c r="D16" s="1">
        <v>73</v>
      </c>
      <c r="E16" s="2">
        <v>100</v>
      </c>
      <c r="F16" s="2">
        <v>55</v>
      </c>
      <c r="G16" s="2">
        <v>95</v>
      </c>
      <c r="H16" s="2">
        <f t="shared" si="0"/>
        <v>370</v>
      </c>
    </row>
    <row r="17" spans="1:8" x14ac:dyDescent="0.25">
      <c r="A17" s="2">
        <v>16</v>
      </c>
      <c r="B17" t="s">
        <v>23</v>
      </c>
      <c r="C17" s="1">
        <v>42</v>
      </c>
      <c r="D17" s="1">
        <v>68</v>
      </c>
      <c r="E17" s="2">
        <v>100</v>
      </c>
      <c r="F17" s="2">
        <v>72</v>
      </c>
      <c r="G17" s="2">
        <v>75</v>
      </c>
      <c r="H17" s="2">
        <f t="shared" si="0"/>
        <v>357</v>
      </c>
    </row>
    <row r="18" spans="1:8" x14ac:dyDescent="0.25">
      <c r="A18" s="2">
        <v>17</v>
      </c>
      <c r="B18" t="s">
        <v>24</v>
      </c>
      <c r="C18" s="1">
        <v>36</v>
      </c>
      <c r="D18" s="1">
        <v>55</v>
      </c>
      <c r="E18" s="2">
        <v>62</v>
      </c>
      <c r="F18" s="2">
        <v>100</v>
      </c>
      <c r="G18" s="2">
        <v>90</v>
      </c>
      <c r="H18" s="2">
        <f t="shared" si="0"/>
        <v>343</v>
      </c>
    </row>
    <row r="19" spans="1:8" x14ac:dyDescent="0.25">
      <c r="A19" s="1">
        <v>18</v>
      </c>
      <c r="B19" t="s">
        <v>25</v>
      </c>
      <c r="C19" s="1">
        <v>85</v>
      </c>
      <c r="D19" s="1">
        <v>76</v>
      </c>
      <c r="E19" s="2">
        <v>75</v>
      </c>
      <c r="F19" s="2">
        <v>63</v>
      </c>
      <c r="G19" s="2">
        <v>44</v>
      </c>
      <c r="H19" s="2">
        <f t="shared" si="0"/>
        <v>343</v>
      </c>
    </row>
    <row r="20" spans="1:8" x14ac:dyDescent="0.25">
      <c r="D20" s="1"/>
    </row>
  </sheetData>
  <mergeCells count="3">
    <mergeCell ref="M5:P6"/>
    <mergeCell ref="M7:P8"/>
    <mergeCell ref="L9:Q10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2026-10-02T00:12:06Z</dcterms:created>
  <dcterms:modified xsi:type="dcterms:W3CDTF">2026-10-08T01:59:23Z</dcterms:modified>
</cp:coreProperties>
</file>